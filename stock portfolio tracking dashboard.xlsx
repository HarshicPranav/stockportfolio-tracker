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810ad87f21433/Documents/"/>
    </mc:Choice>
  </mc:AlternateContent>
  <xr:revisionPtr revIDLastSave="0" documentId="8_{4E0D7F5D-C77B-4F24-8577-97EA0B354472}" xr6:coauthVersionLast="47" xr6:coauthVersionMax="47" xr10:uidLastSave="{00000000-0000-0000-0000-000000000000}"/>
  <bookViews>
    <workbookView xWindow="-108" yWindow="-108" windowWidth="23256" windowHeight="12456" xr2:uid="{6D384745-D8BF-46B7-950A-17E320A72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F9" i="1"/>
  <c r="F10" i="1"/>
  <c r="F11" i="1"/>
  <c r="F12" i="1"/>
  <c r="G12" i="1" s="1"/>
  <c r="H12" i="1" s="1"/>
  <c r="F8" i="1"/>
  <c r="E9" i="1"/>
  <c r="E10" i="1"/>
  <c r="E11" i="1"/>
  <c r="E12" i="1"/>
  <c r="E8" i="1"/>
  <c r="B3" i="1" l="1"/>
  <c r="G11" i="1"/>
  <c r="H11" i="1" s="1"/>
  <c r="G8" i="1"/>
  <c r="G10" i="1"/>
  <c r="G9" i="1"/>
  <c r="H9" i="1" s="1"/>
  <c r="H8" i="1"/>
  <c r="H10" i="1"/>
  <c r="B4" i="1" l="1"/>
</calcChain>
</file>

<file path=xl/sharedStrings.xml><?xml version="1.0" encoding="utf-8"?>
<sst xmlns="http://schemas.openxmlformats.org/spreadsheetml/2006/main" count="22" uniqueCount="21">
  <si>
    <t>Stock Name</t>
  </si>
  <si>
    <t xml:space="preserve"> Buy Price</t>
  </si>
  <si>
    <t>Current Price</t>
  </si>
  <si>
    <t>Quantity</t>
  </si>
  <si>
    <t>Reliance</t>
  </si>
  <si>
    <t>TCS</t>
  </si>
  <si>
    <t>Infosys</t>
  </si>
  <si>
    <t>HDFC Bank</t>
  </si>
  <si>
    <t>ITC</t>
  </si>
  <si>
    <t>Investment value</t>
  </si>
  <si>
    <t>Current Value</t>
  </si>
  <si>
    <t>Profit/Loss</t>
  </si>
  <si>
    <t>Percentage%</t>
  </si>
  <si>
    <t xml:space="preserve">Metric </t>
  </si>
  <si>
    <t>total Investment</t>
  </si>
  <si>
    <t>Total Profit/Loss</t>
  </si>
  <si>
    <t>Overall Return%</t>
  </si>
  <si>
    <t>Value</t>
  </si>
  <si>
    <t>INSIGHTS</t>
  </si>
  <si>
    <t>*TCS Showing strong Growth</t>
  </si>
  <si>
    <t>*Infosys in loss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</si>
</sst>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10" fontId="2" fillId="0" borderId="0" xfId="0" applyNumberFormat="1" applyFont="1"/>
    <xf numFmtId="10" fontId="0" fillId="0" borderId="0" xfId="0" applyNumberFormat="1"/>
    <xf numFmtId="9" fontId="0" fillId="0" borderId="0" xfId="1" applyFont="1"/>
    <xf numFmtId="0" fontId="2" fillId="0" borderId="0" xfId="0" applyNumberFormat="1" applyFont="1"/>
    <xf numFmtId="9" fontId="2" fillId="0" borderId="0" xfId="1" applyNumberFormat="1" applyFont="1"/>
    <xf numFmtId="0" fontId="3" fillId="0" borderId="0" xfId="0" applyFont="1"/>
    <xf numFmtId="0" fontId="4" fillId="0" borderId="0" xfId="0" applyFont="1"/>
  </cellXfs>
  <cellStyles count="2">
    <cellStyle name="Normal" xfId="0" builtinId="0"/>
    <cellStyle name="Percent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56714785651793"/>
          <c:y val="2.0346410443187992E-2"/>
          <c:w val="0.86987729658792656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Sheet1!$G$7</c:f>
              <c:strCache>
                <c:ptCount val="1"/>
                <c:pt idx="0">
                  <c:v>Profit/Loss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Sheet1!$A$8:$A$12</c:f>
              <c:strCache>
                <c:ptCount val="5"/>
                <c:pt idx="0">
                  <c:v>Reliance</c:v>
                </c:pt>
                <c:pt idx="1">
                  <c:v>TCS</c:v>
                </c:pt>
                <c:pt idx="2">
                  <c:v>Infosys</c:v>
                </c:pt>
                <c:pt idx="3">
                  <c:v>HDFC Bank</c:v>
                </c:pt>
                <c:pt idx="4">
                  <c:v>ITC</c:v>
                </c:pt>
              </c:strCache>
            </c:strRef>
          </c:cat>
          <c:val>
            <c:numRef>
              <c:f>Sheet1!$G$8:$G$12</c:f>
              <c:numCache>
                <c:formatCode>General</c:formatCode>
                <c:ptCount val="5"/>
                <c:pt idx="0">
                  <c:v>3000</c:v>
                </c:pt>
                <c:pt idx="1">
                  <c:v>1500</c:v>
                </c:pt>
                <c:pt idx="2">
                  <c:v>-400</c:v>
                </c:pt>
                <c:pt idx="3">
                  <c:v>900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A-4EC0-9685-87A2F1F6E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522344"/>
        <c:axId val="514521984"/>
      </c:barChart>
      <c:catAx>
        <c:axId val="514522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21984"/>
        <c:crosses val="autoZero"/>
        <c:auto val="1"/>
        <c:lblAlgn val="ctr"/>
        <c:lblOffset val="100"/>
        <c:noMultiLvlLbl val="0"/>
      </c:catAx>
      <c:valAx>
        <c:axId val="51452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22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  <a:r>
              <a:rPr lang="en-US" baseline="0"/>
              <a:t> Allocation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Sheet1!$E$7</c:f>
              <c:strCache>
                <c:ptCount val="1"/>
                <c:pt idx="0">
                  <c:v>Investment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Sheet1!$A$8:$A$12</c:f>
              <c:strCache>
                <c:ptCount val="5"/>
                <c:pt idx="0">
                  <c:v>Reliance</c:v>
                </c:pt>
                <c:pt idx="1">
                  <c:v>TCS</c:v>
                </c:pt>
                <c:pt idx="2">
                  <c:v>Infosys</c:v>
                </c:pt>
                <c:pt idx="3">
                  <c:v>HDFC Bank</c:v>
                </c:pt>
                <c:pt idx="4">
                  <c:v>ITC</c:v>
                </c:pt>
              </c:strCache>
            </c:strRef>
          </c:cat>
          <c:val>
            <c:numRef>
              <c:f>Sheet1!$E$8:$E$12</c:f>
              <c:numCache>
                <c:formatCode>"₹"\ #,##0.00</c:formatCode>
                <c:ptCount val="5"/>
                <c:pt idx="0">
                  <c:v>25000</c:v>
                </c:pt>
                <c:pt idx="1">
                  <c:v>16000</c:v>
                </c:pt>
                <c:pt idx="2">
                  <c:v>11200</c:v>
                </c:pt>
                <c:pt idx="3">
                  <c:v>9000</c:v>
                </c:pt>
                <c:pt idx="4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A-4499-A134-2E7E8DB73D0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411480</xdr:colOff>
      <xdr:row>2</xdr:row>
      <xdr:rowOff>30480</xdr:rowOff>
    </xdr:from>
    <xdr:to>
      <xdr:col>15</xdr:col>
      <xdr:colOff>144780</xdr:colOff>
      <xdr:row>19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F8B884-E1C7-B269-EAA5-31E365138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20</xdr:row>
      <xdr:rowOff>19050</xdr:rowOff>
    </xdr:from>
    <xdr:to>
      <xdr:col>13</xdr:col>
      <xdr:colOff>365760</xdr:colOff>
      <xdr:row>35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CE4FD1-34F6-84B2-6ADB-5FBD65A91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A77A-14CA-4B3E-AEE9-35E259AED306}">
  <dimension ref="A1:K20"/>
  <sheetViews>
    <sheetView tabSelected="1" topLeftCell="A8" workbookViewId="0">
      <selection activeCell="B21" sqref="B21"/>
    </sheetView>
  </sheetViews>
  <sheetFormatPr defaultRowHeight="14.4" x14ac:dyDescent="0.3"/>
  <cols>
    <col min="1" max="1" width="20.5546875" customWidth="1"/>
    <col min="2" max="2" width="13.6640625" customWidth="1"/>
    <col min="3" max="3" width="11.77734375" customWidth="1"/>
    <col min="5" max="5" width="15.5546875" style="3" customWidth="1"/>
    <col min="6" max="6" width="12" customWidth="1"/>
    <col min="7" max="7" width="10.33203125" customWidth="1"/>
    <col min="8" max="8" width="11.77734375" style="5" customWidth="1"/>
    <col min="10" max="10" width="14.33203125" customWidth="1"/>
    <col min="11" max="11" width="12.77734375" customWidth="1"/>
  </cols>
  <sheetData>
    <row r="1" spans="1:11" x14ac:dyDescent="0.3">
      <c r="A1" s="1" t="s">
        <v>13</v>
      </c>
      <c r="B1" s="1" t="s">
        <v>17</v>
      </c>
    </row>
    <row r="2" spans="1:11" x14ac:dyDescent="0.3">
      <c r="A2" s="1" t="s">
        <v>14</v>
      </c>
      <c r="B2" s="2">
        <f>SUM(E8:E12)</f>
        <v>70200</v>
      </c>
    </row>
    <row r="3" spans="1:11" x14ac:dyDescent="0.3">
      <c r="A3" s="1" t="s">
        <v>10</v>
      </c>
      <c r="B3" s="1">
        <f>SUM(F8:F12)</f>
        <v>75600</v>
      </c>
    </row>
    <row r="4" spans="1:11" x14ac:dyDescent="0.3">
      <c r="A4" s="1" t="s">
        <v>15</v>
      </c>
      <c r="B4" s="1">
        <f>SUM(G8:G12)</f>
        <v>5400</v>
      </c>
    </row>
    <row r="5" spans="1:11" x14ac:dyDescent="0.3">
      <c r="A5" s="1" t="s">
        <v>16</v>
      </c>
      <c r="B5" s="8">
        <v>0.1</v>
      </c>
    </row>
    <row r="7" spans="1:11" x14ac:dyDescent="0.3">
      <c r="A7" s="1" t="s">
        <v>0</v>
      </c>
      <c r="B7" s="1" t="s">
        <v>1</v>
      </c>
      <c r="C7" s="1" t="s">
        <v>2</v>
      </c>
      <c r="D7" s="1" t="s">
        <v>3</v>
      </c>
      <c r="E7" s="7" t="s">
        <v>9</v>
      </c>
      <c r="F7" s="1" t="s">
        <v>10</v>
      </c>
      <c r="G7" s="7" t="s">
        <v>11</v>
      </c>
      <c r="H7" s="4" t="s">
        <v>12</v>
      </c>
      <c r="K7" s="6"/>
    </row>
    <row r="8" spans="1:11" x14ac:dyDescent="0.3">
      <c r="A8" t="s">
        <v>4</v>
      </c>
      <c r="B8">
        <v>2500</v>
      </c>
      <c r="C8">
        <v>2800</v>
      </c>
      <c r="D8">
        <v>10</v>
      </c>
      <c r="E8" s="3">
        <f>B8*D8</f>
        <v>25000</v>
      </c>
      <c r="F8">
        <f>C8*D8</f>
        <v>28000</v>
      </c>
      <c r="G8">
        <f>F8-E8</f>
        <v>3000</v>
      </c>
      <c r="H8" s="5">
        <f>(G8/E8)*100</f>
        <v>12</v>
      </c>
    </row>
    <row r="9" spans="1:11" x14ac:dyDescent="0.3">
      <c r="A9" t="s">
        <v>5</v>
      </c>
      <c r="B9">
        <v>3200</v>
      </c>
      <c r="C9">
        <v>3500</v>
      </c>
      <c r="D9">
        <v>5</v>
      </c>
      <c r="E9" s="3">
        <f>B9*D9</f>
        <v>16000</v>
      </c>
      <c r="F9">
        <f t="shared" ref="F9:F12" si="0">C9*D9</f>
        <v>17500</v>
      </c>
      <c r="G9">
        <f t="shared" ref="G9:G12" si="1">F9-E9</f>
        <v>1500</v>
      </c>
      <c r="H9" s="5">
        <f t="shared" ref="H9:H12" si="2">(G9/E9)*100</f>
        <v>9.375</v>
      </c>
    </row>
    <row r="10" spans="1:11" x14ac:dyDescent="0.3">
      <c r="A10" t="s">
        <v>6</v>
      </c>
      <c r="B10">
        <v>1400</v>
      </c>
      <c r="C10">
        <v>1350</v>
      </c>
      <c r="D10">
        <v>8</v>
      </c>
      <c r="E10" s="3">
        <f>B10*D10</f>
        <v>11200</v>
      </c>
      <c r="F10">
        <f t="shared" si="0"/>
        <v>10800</v>
      </c>
      <c r="G10">
        <f t="shared" si="1"/>
        <v>-400</v>
      </c>
      <c r="H10" s="5">
        <f t="shared" si="2"/>
        <v>-3.5714285714285712</v>
      </c>
    </row>
    <row r="11" spans="1:11" x14ac:dyDescent="0.3">
      <c r="A11" t="s">
        <v>7</v>
      </c>
      <c r="B11">
        <v>1500</v>
      </c>
      <c r="C11">
        <v>1650</v>
      </c>
      <c r="D11">
        <v>6</v>
      </c>
      <c r="E11" s="3">
        <f t="shared" ref="E11:E12" si="3">B11*D11</f>
        <v>9000</v>
      </c>
      <c r="F11">
        <f t="shared" si="0"/>
        <v>9900</v>
      </c>
      <c r="G11">
        <f t="shared" si="1"/>
        <v>900</v>
      </c>
      <c r="H11" s="5">
        <f t="shared" si="2"/>
        <v>10</v>
      </c>
    </row>
    <row r="12" spans="1:11" x14ac:dyDescent="0.3">
      <c r="A12" t="s">
        <v>8</v>
      </c>
      <c r="B12">
        <v>450</v>
      </c>
      <c r="C12">
        <v>470</v>
      </c>
      <c r="D12">
        <v>20</v>
      </c>
      <c r="E12" s="3">
        <f t="shared" si="3"/>
        <v>9000</v>
      </c>
      <c r="F12">
        <f t="shared" si="0"/>
        <v>9400</v>
      </c>
      <c r="G12">
        <f t="shared" si="1"/>
        <v>400</v>
      </c>
      <c r="H12" s="5">
        <f t="shared" si="2"/>
        <v>4.4444444444444446</v>
      </c>
    </row>
    <row r="18" spans="1:2" ht="21" x14ac:dyDescent="0.4">
      <c r="A18" s="10" t="s">
        <v>18</v>
      </c>
      <c r="B18" s="9"/>
    </row>
    <row r="19" spans="1:2" x14ac:dyDescent="0.3">
      <c r="B19" t="s">
        <v>19</v>
      </c>
    </row>
    <row r="20" spans="1:2" x14ac:dyDescent="0.3">
      <c r="B20" t="s">
        <v>20</v>
      </c>
    </row>
  </sheetData>
  <conditionalFormatting sqref="G1 G18:G1048576 G7:G1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harshic pranav</dc:creator>
  <cp:lastModifiedBy>harshic pranav</cp:lastModifiedBy>
  <dcterms:created xsi:type="dcterms:W3CDTF">2026-03-29T11:08:23Z</dcterms:created>
  <dcterms:modified xsi:type="dcterms:W3CDTF">2026-03-29T12:16:49Z</dcterms:modified>
</cp:coreProperties>
</file>